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2aecab757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Overview" sheetId="1" r:id="R4bfb53f8bda54d39"/>
    <x:sheet xmlns:r="http://schemas.openxmlformats.org/officeDocument/2006/relationships" name="Expected Findings" sheetId="2" r:id="Rf2931e12aa9e41d6"/>
    <x:sheet xmlns:r="http://schemas.openxmlformats.org/officeDocument/2006/relationships" name="Upload Plan" sheetId="3" r:id="R5e54fd4eb7f2444e"/>
    <x:sheet xmlns:r="http://schemas.openxmlformats.org/officeDocument/2006/relationships" name="Rule Catalog" sheetId="4" r:id="R50b3e0b62ffe463a"/>
    <x:sheet xmlns:r="http://schemas.openxmlformats.org/officeDocument/2006/relationships" name="Reviewer Checklist" sheetId="5" r:id="Rad7692c2cda5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;[Red](&quot;$&quot;#,##0);-"/>
    <x:numFmt numFmtId="201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728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E5C"/>
      </x:patternFill>
    </x:fill>
    <x:fill>
      <x:patternFill patternType="solid">
        <x:fgColor rgb="FFEAF3F8"/>
      </x:patternFill>
    </x:fill>
    <x:fill>
      <x:patternFill patternType="solid">
        <x:fgColor rgb="FFFFF7D6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6bcfee795432f" /><Relationship Type="http://schemas.openxmlformats.org/officeDocument/2006/relationships/theme" Target="/xl/theme/theme1.xml" Id="Raca9deae630a4c59" /><Relationship Type="http://schemas.openxmlformats.org/officeDocument/2006/relationships/sharedStrings" Target="/xl/sharedStrings.xml" Id="R3856e2ee382d4916" /><Relationship Type="http://schemas.openxmlformats.org/officeDocument/2006/relationships/worksheet" Target="/xl/worksheets/sheet1.xml" Id="R4bfb53f8bda54d39" /><Relationship Type="http://schemas.openxmlformats.org/officeDocument/2006/relationships/worksheet" Target="/xl/worksheets/sheet2.xml" Id="Rf2931e12aa9e41d6" /><Relationship Type="http://schemas.openxmlformats.org/officeDocument/2006/relationships/worksheet" Target="/xl/worksheets/sheet3.xml" Id="R5e54fd4eb7f2444e" /><Relationship Type="http://schemas.openxmlformats.org/officeDocument/2006/relationships/worksheet" Target="/xl/worksheets/sheet4.xml" Id="R50b3e0b62ffe463a" /><Relationship Type="http://schemas.openxmlformats.org/officeDocument/2006/relationships/worksheet" Target="/xl/worksheets/sheet5.xml" Id="Rad7692c2cda54b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2" hidden="0" customWidth="1"/>
  </x:cols>
  <x:sheetData>
    <x:row r="1" ht="28" customHeight="1">
      <x:c r="A1" s="4" t="str">
        <x:v>Mayo OneAgent - End-to-End Test Expected Results</x:v>
      </x:c>
      <x:c r="B1" s="4"/>
      <x:c r="C1" s="4"/>
      <x:c r="D1" s="4"/>
      <x:c r="E1" s="4"/>
      <x:c r="F1" s="4"/>
      <x:c r="G1" s="4"/>
      <x:c r="H1" s="4"/>
    </x:row>
    <x:row r="2" ht="26" customHeight="1">
      <x:c r="A2" s="9" t="str">
        <x:v>Fictional training packet. Use this workbook as the reviewer oracle; upload the PDFs separately in the prescribed order.</x:v>
      </x:c>
      <x:c r="B2" s="9"/>
      <x:c r="C2" s="9"/>
      <x:c r="D2" s="9"/>
      <x:c r="E2" s="9"/>
      <x:c r="F2" s="9"/>
      <x:c r="G2" s="9"/>
      <x:c r="H2" s="9"/>
    </x:row>
    <x:row r="4">
      <x:c r="A4" s="11" t="str">
        <x:v>Test case</x:v>
      </x:c>
      <x:c r="B4" s="13" t="str">
        <x:v>Oakwood Medical Pavilion - Pay Application 7</x:v>
      </x:c>
    </x:row>
    <x:row r="5">
      <x:c r="A5" s="11" t="str">
        <x:v>Primary outcome</x:v>
      </x:c>
      <x:c r="B5" s="13" t="str">
        <x:v>Draft generates exceptions; final comparison shows corrections</x:v>
      </x:c>
    </x:row>
    <x:row r="6">
      <x:c r="A6" s="11" t="str">
        <x:v>Expected deterministic findings</x:v>
      </x:c>
      <x:c r="B6" s="16" t="n">
        <x:f>COUNTIF('Expected Findings'!$H$5:$H$13,"Deterministic")</x:f>
        <x:v>5</x:v>
      </x:c>
    </x:row>
    <x:row r="7">
      <x:c r="A7" s="11" t="str">
        <x:v>Expected semantic review topics</x:v>
      </x:c>
      <x:c r="B7" s="16" t="n">
        <x:f>COUNTIF('Expected Findings'!$H$5:$H$13,"Semantic")</x:f>
        <x:v>4</x:v>
      </x:c>
    </x:row>
    <x:row r="8">
      <x:c r="A8" s="11" t="str">
        <x:v>Human approval</x:v>
      </x:c>
      <x:c r="B8" s="13" t="str">
        <x:v>Required - no finding should change a payment automatically</x:v>
      </x:c>
    </x:row>
    <x:row r="9">
      <x:c r="A9" s="11" t="str">
        <x:v>Recommended model</x:v>
      </x:c>
      <x:c r="B9" s="13" t="str">
        <x:v>Default OPENAI_MAYO_MODEL (gpt-5.6 unless overridden)</x:v>
      </x:c>
    </x:row>
    <x:row r="11">
      <x:c r="A11" s="18" t="str">
        <x:v>Pass criteria</x:v>
      </x:c>
      <x:c r="B11" s="18"/>
      <x:c r="C11" s="18"/>
      <x:c r="D11" s="18"/>
      <x:c r="E11" s="18"/>
      <x:c r="F11" s="18"/>
      <x:c r="G11" s="18"/>
      <x:c r="H11" s="18"/>
    </x:row>
    <x:row r="12">
      <x:c r="A12" s="19" t="str">
        <x:v>1</x:v>
      </x:c>
      <x:c r="B12" s="13" t="str">
        <x:v>Each uploaded document reaches Ready status; no cross-case retrieval is possible.</x:v>
      </x:c>
      <x:c r="C12" s="13"/>
      <x:c r="D12" s="13"/>
      <x:c r="E12" s="13"/>
      <x:c r="F12" s="13"/>
      <x:c r="G12" s="13"/>
      <x:c r="H12" s="13"/>
    </x:row>
    <x:row r="13">
      <x:c r="A13" s="19" t="str">
        <x:v>2</x:v>
      </x:c>
      <x:c r="B13" s="13" t="str">
        <x:v>Extracting the three pay applications produces structured payment data and evidence.</x:v>
      </x:c>
      <x:c r="C13" s="13"/>
      <x:c r="D13" s="13"/>
      <x:c r="E13" s="13"/>
      <x:c r="F13" s="13"/>
      <x:c r="G13" s="13"/>
      <x:c r="H13" s="13"/>
    </x:row>
    <x:row r="14">
      <x:c r="A14" s="19" t="str">
        <x:v>3</x:v>
      </x:c>
      <x:c r="B14" s="13" t="str">
        <x:v>The draft review produces at least the five deterministic findings and surfaces the four semantic topics below.</x:v>
      </x:c>
      <x:c r="C14" s="13"/>
      <x:c r="D14" s="13"/>
      <x:c r="E14" s="13"/>
      <x:c r="F14" s="13"/>
      <x:c r="G14" s="13"/>
      <x:c r="H14" s="13"/>
    </x:row>
    <x:row r="15">
      <x:c r="A15" s="19" t="str">
        <x:v>4</x:v>
      </x:c>
      <x:c r="B15" s="13" t="str">
        <x:v>Every finding remains open/awaiting review until a reviewer records a decision.</x:v>
      </x:c>
      <x:c r="C15" s="13"/>
      <x:c r="D15" s="13"/>
      <x:c r="E15" s="13"/>
      <x:c r="F15" s="13"/>
      <x:c r="G15" s="13"/>
      <x:c r="H15" s="13"/>
    </x:row>
    <x:row r="16">
      <x:c r="A16" s="19" t="str">
        <x:v>5</x:v>
      </x:c>
      <x:c r="B16" s="13" t="str">
        <x:v>The final comparison identifies resolved draft issues and does not auto-approve payment.</x:v>
      </x:c>
      <x:c r="C16" s="13"/>
      <x:c r="D16" s="13"/>
      <x:c r="E16" s="13"/>
      <x:c r="F16" s="13"/>
      <x:c r="G16" s="13"/>
      <x:c r="H16" s="13"/>
    </x:row>
    <x:row r="17">
      <x:c r="A17" s="19" t="str">
        <x:v>6</x:v>
      </x:c>
      <x:c r="B17" s="13" t="str">
        <x:v>Audit history shows model, prompt/rule version, documents, response ID, and execution status.</x:v>
      </x:c>
      <x:c r="C17" s="13"/>
      <x:c r="D17" s="13"/>
      <x:c r="E17" s="13"/>
      <x:c r="F17" s="13"/>
      <x:c r="G17" s="13"/>
      <x:c r="H17" s="13"/>
    </x:row>
  </x:sheetData>
  <x:mergeCells>
    <x:mergeCell ref="A1:H1"/>
    <x:mergeCell ref="A2:H2"/>
    <x:mergeCell ref="A11:H1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48" hidden="0" customWidth="1"/>
    <x:col min="4" max="4" width="18" hidden="0" customWidth="1"/>
    <x:col min="5" max="5" width="12" hidden="0" customWidth="1"/>
    <x:col min="6" max="6" width="14" hidden="0" customWidth="1"/>
    <x:col min="7" max="7" width="36" hidden="0" customWidth="1"/>
    <x:col min="8" max="8" width="15" hidden="0" customWidth="1"/>
  </x:cols>
  <x:sheetData>
    <x:row r="1" ht="28" customHeight="1">
      <x:c r="A1" s="4" t="str">
        <x:v>Expected Findings - Draft Payment Application 7</x:v>
      </x:c>
      <x:c r="B1" s="4"/>
      <x:c r="C1" s="4"/>
      <x:c r="D1" s="4"/>
      <x:c r="E1" s="4"/>
      <x:c r="F1" s="4"/>
      <x:c r="G1" s="4"/>
      <x:c r="H1" s="4"/>
    </x:row>
    <x:row r="2" ht="26" customHeight="1">
      <x:c r="A2" s="9" t="str">
        <x:v>Exact wording can vary by model. Validate the rule code, materially equivalent description, evidence source, severity, and amount impact.</x:v>
      </x:c>
      <x:c r="B2" s="9"/>
      <x:c r="C2" s="9"/>
      <x:c r="D2" s="9"/>
      <x:c r="E2" s="9"/>
      <x:c r="F2" s="9"/>
      <x:c r="G2" s="9"/>
      <x:c r="H2" s="9"/>
    </x:row>
    <x:row r="4">
      <x:c r="A4" s="24" t="str">
        <x:v>Rule code</x:v>
      </x:c>
      <x:c r="B4" s="24" t="str">
        <x:v>Source document(s)</x:v>
      </x:c>
      <x:c r="C4" s="24" t="str">
        <x:v>Expected trigger</x:v>
      </x:c>
      <x:c r="D4" s="24" t="str">
        <x:v>Expected amount impact</x:v>
      </x:c>
      <x:c r="E4" s="24" t="str">
        <x:v>Severity</x:v>
      </x:c>
      <x:c r="F4" s="24" t="str">
        <x:v>Initial status</x:v>
      </x:c>
      <x:c r="G4" s="24" t="str">
        <x:v>Expected evidence</x:v>
      </x:c>
      <x:c r="H4" s="24" t="str">
        <x:v>Rule type</x:v>
      </x:c>
    </x:row>
    <x:row r="5">
      <x:c r="A5" s="25" t="str">
        <x:v>MATH</x:v>
      </x:c>
      <x:c r="B5" s="25" t="str">
        <x:v>05_Pay_Application_007_DRAFT_EXCEPTIONS.pdf</x:v>
      </x:c>
      <x:c r="C5" s="25" t="str">
        <x:v>SOV current-period total is $510,000; requested payment is $450,000.</x:v>
      </x:c>
      <x:c r="D5" s="26" t="n">
        <x:v>60000</x:v>
      </x:c>
      <x:c r="E5" s="27" t="str">
        <x:v>High</x:v>
      </x:c>
      <x:c r="F5" s="27" t="str">
        <x:v>Open</x:v>
      </x:c>
      <x:c r="G5" s="25" t="str">
        <x:v>Draft pay app - SOV and summary</x:v>
      </x:c>
      <x:c r="H5" s="27" t="str">
        <x:v>Deterministic</x:v>
      </x:c>
    </x:row>
    <x:row r="6">
      <x:c r="A6" s="25" t="str">
        <x:v>OVER_BILLING</x:v>
      </x:c>
      <x:c r="B6" s="25" t="str">
        <x:v>05_Pay_Application_007_DRAFT_EXCEPTIONS.pdf</x:v>
      </x:c>
      <x:c r="C6" s="25" t="str">
        <x:v>Interior finishes total completed is $385,000 vs scheduled value $350,000.</x:v>
      </x:c>
      <x:c r="D6" s="26" t="n">
        <x:v>35000</x:v>
      </x:c>
      <x:c r="E6" s="27" t="str">
        <x:v>Critical</x:v>
      </x:c>
      <x:c r="F6" s="27" t="str">
        <x:v>Open</x:v>
      </x:c>
      <x:c r="G6" s="25" t="str">
        <x:v>Draft pay app - line 03</x:v>
      </x:c>
      <x:c r="H6" s="27" t="str">
        <x:v>Deterministic</x:v>
      </x:c>
    </x:row>
    <x:row r="7">
      <x:c r="A7" s="25" t="str">
        <x:v>RETAINAGE</x:v>
      </x:c>
      <x:c r="B7" s="25" t="str">
        <x:v>05_Pay_Application_007_DRAFT_EXCEPTIONS.pdf</x:v>
      </x:c>
      <x:c r="C7" s="25" t="str">
        <x:v>10.0% of $1,110,000 is $111,000; document reports $25,000.</x:v>
      </x:c>
      <x:c r="D7" s="26" t="n">
        <x:v>86000</x:v>
      </x:c>
      <x:c r="E7" s="27" t="str">
        <x:v>High</x:v>
      </x:c>
      <x:c r="F7" s="27" t="str">
        <x:v>Open</x:v>
      </x:c>
      <x:c r="G7" s="25" t="str">
        <x:v>Draft pay app - summary</x:v>
      </x:c>
      <x:c r="H7" s="27" t="str">
        <x:v>Deterministic</x:v>
      </x:c>
    </x:row>
    <x:row r="8">
      <x:c r="A8" s="25" t="str">
        <x:v>CO_UNAPPROVED</x:v>
      </x:c>
      <x:c r="B8" s="25" t="str">
        <x:v>05 draft + 04 change log</x:v>
      </x:c>
      <x:c r="C8" s="25" t="str">
        <x:v>CO-002 temporary generator $30,000 is billed, while log calls it Pending.</x:v>
      </x:c>
      <x:c r="D8" s="26" t="n">
        <x:v>30000</x:v>
      </x:c>
      <x:c r="E8" s="27" t="str">
        <x:v>High</x:v>
      </x:c>
      <x:c r="F8" s="27" t="str">
        <x:v>Open</x:v>
      </x:c>
      <x:c r="G8" s="25" t="str">
        <x:v>Draft pay app and change log</x:v>
      </x:c>
      <x:c r="H8" s="27" t="str">
        <x:v>Deterministic</x:v>
      </x:c>
    </x:row>
    <x:row r="9">
      <x:c r="A9" s="25" t="str">
        <x:v>LARGE_PERIOD</x:v>
      </x:c>
      <x:c r="B9" s="25" t="str">
        <x:v>02, 03, 05 payment applications</x:v>
      </x:c>
      <x:c r="C9" s="25" t="str">
        <x:v>App 7 current payment $450,000 is well above App 5/6 average of $110,000.</x:v>
      </x:c>
      <x:c r="D9" s="26" t="n">
        <x:v>340000</x:v>
      </x:c>
      <x:c r="E9" s="27" t="str">
        <x:v>Medium</x:v>
      </x:c>
      <x:c r="F9" s="27" t="str">
        <x:v>Open</x:v>
      </x:c>
      <x:c r="G9" s="25" t="str">
        <x:v>All three payment applications</x:v>
      </x:c>
      <x:c r="H9" s="27" t="str">
        <x:v>Deterministic</x:v>
      </x:c>
    </x:row>
    <x:row r="10">
      <x:c r="A10" s="25" t="str">
        <x:v>CONTRACT_SCOPE</x:v>
      </x:c>
      <x:c r="B10" s="25" t="str">
        <x:v>01 contract + 05 draft</x:v>
      </x:c>
      <x:c r="C10" s="25" t="str">
        <x:v>Furniture procurement $32,500 is excluded contract scope and has no executed change order.</x:v>
      </x:c>
      <x:c r="D10" s="26" t="n">
        <x:v>32500</x:v>
      </x:c>
      <x:c r="E10" s="27" t="str">
        <x:v>High</x:v>
      </x:c>
      <x:c r="F10" s="27" t="str">
        <x:v>Open</x:v>
      </x:c>
      <x:c r="G10" s="25" t="str">
        <x:v>Contract excluded scope and draft narrative</x:v>
      </x:c>
      <x:c r="H10" s="27" t="str">
        <x:v>Semantic</x:v>
      </x:c>
    </x:row>
    <x:row r="11">
      <x:c r="A11" s="25" t="str">
        <x:v>SUPPORTING_DOCS</x:v>
      </x:c>
      <x:c r="B11" s="25" t="str">
        <x:v>01 contract + 05 draft</x:v>
      </x:c>
      <x:c r="C11" s="25" t="str">
        <x:v>Draft states no lien waiver or certificate of insurance; both are contract-required.</x:v>
      </x:c>
      <x:c r="D11" s="26"/>
      <x:c r="E11" s="27" t="str">
        <x:v>Medium</x:v>
      </x:c>
      <x:c r="F11" s="27" t="str">
        <x:v>Open</x:v>
      </x:c>
      <x:c r="G11" s="25" t="str">
        <x:v>Contract support clause and draft narrative</x:v>
      </x:c>
      <x:c r="H11" s="27" t="str">
        <x:v>Semantic</x:v>
      </x:c>
    </x:row>
    <x:row r="12">
      <x:c r="A12" s="25" t="str">
        <x:v>DUPLICATE</x:v>
      </x:c>
      <x:c r="B12" s="25" t="str">
        <x:v>03 prior app + 05 draft</x:v>
      </x:c>
      <x:c r="C12" s="25" t="str">
        <x:v>Temporary generator rental $20,000 appears in both App 6 narrative and App 7 draft.</x:v>
      </x:c>
      <x:c r="D12" s="26" t="n">
        <x:v>20000</x:v>
      </x:c>
      <x:c r="E12" s="27" t="str">
        <x:v>High</x:v>
      </x:c>
      <x:c r="F12" s="27" t="str">
        <x:v>Open</x:v>
      </x:c>
      <x:c r="G12" s="25" t="str">
        <x:v>App 6 reviewer note and App 7 narrative</x:v>
      </x:c>
      <x:c r="H12" s="27" t="str">
        <x:v>Semantic</x:v>
      </x:c>
    </x:row>
    <x:row r="13">
      <x:c r="A13" s="25" t="str">
        <x:v>PRIOR_PERIOD</x:v>
      </x:c>
      <x:c r="B13" s="25" t="str">
        <x:v>03 prior app + 04 change log + 05 draft</x:v>
      </x:c>
      <x:c r="C13" s="25" t="str">
        <x:v>Prior language/records conflict with the draft's treatment of generator work; investigate status and amount.</x:v>
      </x:c>
      <x:c r="D13" s="26"/>
      <x:c r="E13" s="27" t="str">
        <x:v>Medium</x:v>
      </x:c>
      <x:c r="F13" s="27" t="str">
        <x:v>Open</x:v>
      </x:c>
      <x:c r="G13" s="25" t="str">
        <x:v>Prior app, change log, and draft</x:v>
      </x:c>
      <x:c r="H13" s="27" t="str">
        <x:v>Semantic</x:v>
      </x:c>
    </x:row>
    <x:row r="14">
      <x:c r="A14" s="30" t="str">
        <x:v>Semantic results are advisory. The model may phrase or rank them differently; reviewers should accept only evidence-supported findings.</x:v>
      </x:c>
      <x:c r="B14" s="30"/>
      <x:c r="C14" s="30"/>
      <x:c r="D14" s="30"/>
      <x:c r="E14" s="30"/>
      <x:c r="F14" s="30"/>
      <x:c r="G14" s="30"/>
      <x:c r="H14" s="30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14" hidden="0" customWidth="1"/>
    <x:col min="5" max="5" width="28" hidden="0" customWidth="1"/>
    <x:col min="6" max="6" width="48" hidden="0" customWidth="1"/>
    <x:col min="7" max="7" width="24" hidden="0" customWidth="1"/>
  </x:cols>
  <x:sheetData>
    <x:row r="1" ht="28" customHeight="1">
      <x:c r="A1" s="4" t="str">
        <x:v>Upload and Execution Plan</x:v>
      </x:c>
      <x:c r="B1" s="4"/>
      <x:c r="C1" s="4"/>
      <x:c r="D1" s="4"/>
      <x:c r="E1" s="4"/>
      <x:c r="F1" s="4"/>
      <x:c r="G1" s="4"/>
      <x:c r="H1" s="4"/>
    </x:row>
    <x:row r="2" ht="26" customHeight="1">
      <x:c r="A2" s="9" t="str">
        <x:v>Use these categories and stages exactly; extract the three payment applications before running the case review.</x:v>
      </x:c>
      <x:c r="B2" s="9"/>
      <x:c r="C2" s="9"/>
      <x:c r="D2" s="9"/>
      <x:c r="E2" s="9"/>
      <x:c r="F2" s="9"/>
      <x:c r="G2" s="9"/>
      <x:c r="H2" s="9"/>
    </x:row>
    <x:row r="4">
      <x:c r="A4" s="24" t="str">
        <x:v>Order</x:v>
      </x:c>
      <x:c r="B4" s="24" t="str">
        <x:v>File</x:v>
      </x:c>
      <x:c r="C4" s="24" t="str">
        <x:v>Mayo category</x:v>
      </x:c>
      <x:c r="D4" s="24" t="str">
        <x:v>Stage</x:v>
      </x:c>
      <x:c r="E4" s="24" t="str">
        <x:v>Action after indexing</x:v>
      </x:c>
      <x:c r="F4" s="24" t="str">
        <x:v>Why it matters</x:v>
      </x:c>
      <x:c r="G4" s="24" t="str">
        <x:v>Expected status</x:v>
      </x:c>
    </x:row>
    <x:row r="5">
      <x:c r="A5" s="31" t="n">
        <x:v>1</x:v>
      </x:c>
      <x:c r="B5" s="25" t="str">
        <x:v>01_Contract_and_CO-001.pdf</x:v>
      </x:c>
      <x:c r="C5" s="25" t="str">
        <x:v>contract</x:v>
      </x:c>
      <x:c r="D5" s="25" t="str">
        <x:v>supporting</x:v>
      </x:c>
      <x:c r="E5" s="25" t="str">
        <x:v>Extract optional; include in review</x:v>
      </x:c>
      <x:c r="F5" s="25" t="str">
        <x:v>Scope, retainage, support requirements, approved CO-001</x:v>
      </x:c>
      <x:c r="G5" s="25" t="str">
        <x:v>Ready</x:v>
      </x:c>
    </x:row>
    <x:row r="6">
      <x:c r="A6" s="31" t="n">
        <x:v>2</x:v>
      </x:c>
      <x:c r="B6" s="25" t="str">
        <x:v>02_Pay_Application_005.pdf</x:v>
      </x:c>
      <x:c r="C6" s="25" t="str">
        <x:v>prior_payment</x:v>
      </x:c>
      <x:c r="D6" s="25" t="str">
        <x:v>supporting</x:v>
      </x:c>
      <x:c r="E6" s="25" t="str">
        <x:v>Extract</x:v>
      </x:c>
      <x:c r="F6" s="25" t="str">
        <x:v>Establishes prior current payment of $100,000</x:v>
      </x:c>
      <x:c r="G6" s="25" t="str">
        <x:v>Ready + extracted</x:v>
      </x:c>
    </x:row>
    <x:row r="7">
      <x:c r="A7" s="31" t="n">
        <x:v>3</x:v>
      </x:c>
      <x:c r="B7" s="25" t="str">
        <x:v>03_Pay_Application_006.pdf</x:v>
      </x:c>
      <x:c r="C7" s="25" t="str">
        <x:v>prior_payment</x:v>
      </x:c>
      <x:c r="D7" s="25" t="str">
        <x:v>supporting</x:v>
      </x:c>
      <x:c r="E7" s="25" t="str">
        <x:v>Extract</x:v>
      </x:c>
      <x:c r="F7" s="25" t="str">
        <x:v>Establishes prior $120,000 payment and duplicate-rental narrative</x:v>
      </x:c>
      <x:c r="G7" s="25" t="str">
        <x:v>Ready + extracted</x:v>
      </x:c>
    </x:row>
    <x:row r="8">
      <x:c r="A8" s="31" t="n">
        <x:v>4</x:v>
      </x:c>
      <x:c r="B8" s="25" t="str">
        <x:v>04_Change_Order_Log.pdf</x:v>
      </x:c>
      <x:c r="C8" s="25" t="str">
        <x:v>change_order</x:v>
      </x:c>
      <x:c r="D8" s="25" t="str">
        <x:v>supporting</x:v>
      </x:c>
      <x:c r="E8" s="25" t="str">
        <x:v>Extract optional; include in review</x:v>
      </x:c>
      <x:c r="F8" s="25" t="str">
        <x:v>CO-002 is pending, not approved</x:v>
      </x:c>
      <x:c r="G8" s="25" t="str">
        <x:v>Ready</x:v>
      </x:c>
    </x:row>
    <x:row r="9">
      <x:c r="A9" s="31" t="n">
        <x:v>5</x:v>
      </x:c>
      <x:c r="B9" s="25" t="str">
        <x:v>05_Pay_Application_007_DRAFT_EXCEPTIONS.pdf</x:v>
      </x:c>
      <x:c r="C9" s="25" t="str">
        <x:v>pay_application</x:v>
      </x:c>
      <x:c r="D9" s="25" t="str">
        <x:v>draft</x:v>
      </x:c>
      <x:c r="E9" s="25" t="str">
        <x:v>Extract, then Run review</x:v>
      </x:c>
      <x:c r="F9" s="25" t="str">
        <x:v>Primary exception document</x:v>
      </x:c>
      <x:c r="G9" s="25" t="str">
        <x:v>Ready + extracted + findings</x:v>
      </x:c>
    </x:row>
    <x:row r="10">
      <x:c r="A10" s="31" t="n">
        <x:v>6</x:v>
      </x:c>
      <x:c r="B10" s="25" t="str">
        <x:v>06_Pay_Application_007_FINAL_REVISED.pdf</x:v>
      </x:c>
      <x:c r="C10" s="25" t="str">
        <x:v>pay_application</x:v>
      </x:c>
      <x:c r="D10" s="25" t="str">
        <x:v>final</x:v>
      </x:c>
      <x:c r="E10" s="25" t="str">
        <x:v>Extract optional, then Compare</x:v>
      </x:c>
      <x:c r="F10" s="25" t="str">
        <x:v>Corrected final response to draft findings</x:v>
      </x:c>
      <x:c r="G10" s="25" t="str">
        <x:v>Ready + comparison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8" hidden="0" customWidth="1"/>
    <x:col min="4" max="4" width="38" hidden="0" customWidth="1"/>
    <x:col min="5" max="5" width="30" hidden="0" customWidth="1"/>
  </x:cols>
  <x:sheetData>
    <x:row r="1" ht="28" customHeight="1">
      <x:c r="A1" s="4" t="str">
        <x:v>Mayo Rule Catalog for This Test</x:v>
      </x:c>
      <x:c r="B1" s="4"/>
      <x:c r="C1" s="4"/>
      <x:c r="D1" s="4"/>
      <x:c r="E1" s="4"/>
      <x:c r="F1" s="4"/>
      <x:c r="G1" s="4"/>
      <x:c r="H1" s="4"/>
    </x:row>
    <x:row r="2" ht="26" customHeight="1">
      <x:c r="A2" s="9" t="str">
        <x:v>Deterministic findings should appear consistently when extraction captures the stated values. Semantic findings need document retrieval and reviewer judgment.</x:v>
      </x:c>
      <x:c r="B2" s="9"/>
      <x:c r="C2" s="9"/>
      <x:c r="D2" s="9"/>
      <x:c r="E2" s="9"/>
      <x:c r="F2" s="9"/>
      <x:c r="G2" s="9"/>
      <x:c r="H2" s="9"/>
    </x:row>
    <x:row r="4">
      <x:c r="A4" s="24" t="str">
        <x:v>Rule</x:v>
      </x:c>
      <x:c r="B4" s="24" t="str">
        <x:v>Type</x:v>
      </x:c>
      <x:c r="C4" s="24" t="str">
        <x:v>What the bot checks</x:v>
      </x:c>
      <x:c r="D4" s="24" t="str">
        <x:v>Packet trigger</x:v>
      </x:c>
      <x:c r="E4" s="24" t="str">
        <x:v>Expected result</x:v>
      </x:c>
    </x:row>
    <x:row r="5">
      <x:c r="A5" s="25" t="str">
        <x:v>MATH</x:v>
      </x:c>
      <x:c r="B5" s="25" t="str">
        <x:v>Deterministic</x:v>
      </x:c>
      <x:c r="C5" s="25" t="str">
        <x:v>Current payment versus sum of SOV current amounts</x:v>
      </x:c>
      <x:c r="D5" s="25" t="str">
        <x:v>$510,000 SOV total vs $450,000 request</x:v>
      </x:c>
      <x:c r="E5" s="25" t="str">
        <x:v>$60,000 reconciliation variance</x:v>
      </x:c>
    </x:row>
    <x:row r="6">
      <x:c r="A6" s="25" t="str">
        <x:v>OVER_BILLING</x:v>
      </x:c>
      <x:c r="B6" s="25" t="str">
        <x:v>Deterministic</x:v>
      </x:c>
      <x:c r="C6" s="25" t="str">
        <x:v>Total completed versus scheduled value per SOV line</x:v>
      </x:c>
      <x:c r="D6" s="25" t="str">
        <x:v>Interior finishes $385,000 vs $350,000</x:v>
      </x:c>
      <x:c r="E6" s="25" t="str">
        <x:v>$35,000 over-billing variance</x:v>
      </x:c>
    </x:row>
    <x:row r="7">
      <x:c r="A7" s="25" t="str">
        <x:v>RETAINAGE</x:v>
      </x:c>
      <x:c r="B7" s="25" t="str">
        <x:v>Deterministic</x:v>
      </x:c>
      <x:c r="C7" s="25" t="str">
        <x:v>Reported retainage versus stated percentage</x:v>
      </x:c>
      <x:c r="D7" s="25" t="str">
        <x:v>$25,000 reported vs $111,000 at 10.0%</x:v>
      </x:c>
      <x:c r="E7" s="25" t="str">
        <x:v>$86,000 retainage variance</x:v>
      </x:c>
    </x:row>
    <x:row r="8">
      <x:c r="A8" s="25" t="str">
        <x:v>CO_UNAPPROVED</x:v>
      </x:c>
      <x:c r="B8" s="25" t="str">
        <x:v>Deterministic</x:v>
      </x:c>
      <x:c r="C8" s="25" t="str">
        <x:v>Amount billed against pending change work</x:v>
      </x:c>
      <x:c r="D8" s="25" t="str">
        <x:v>CO-002 billed for $30,000 while Pending</x:v>
      </x:c>
      <x:c r="E8" s="25" t="str">
        <x:v>$30,000 exception</x:v>
      </x:c>
    </x:row>
    <x:row r="9">
      <x:c r="A9" s="25" t="str">
        <x:v>LARGE_PERIOD</x:v>
      </x:c>
      <x:c r="B9" s="25" t="str">
        <x:v>Deterministic</x:v>
      </x:c>
      <x:c r="C9" s="25" t="str">
        <x:v>Latest payment versus average prior payments</x:v>
      </x:c>
      <x:c r="D9" s="25" t="str">
        <x:v>$450,000 vs $110,000 prior average</x:v>
      </x:c>
      <x:c r="E9" s="25" t="str">
        <x:v>Period increase exception</x:v>
      </x:c>
    </x:row>
    <x:row r="10">
      <x:c r="A10" s="25" t="str">
        <x:v>CONTRACT_SCOPE</x:v>
      </x:c>
      <x:c r="B10" s="25" t="str">
        <x:v>Semantic</x:v>
      </x:c>
      <x:c r="C10" s="25" t="str">
        <x:v>Work allowed by contract or approved change</x:v>
      </x:c>
      <x:c r="D10" s="25" t="str">
        <x:v>Furniture procurement excluded; no approval</x:v>
      </x:c>
      <x:c r="E10" s="25" t="str">
        <x:v>Scope exception</x:v>
      </x:c>
    </x:row>
    <x:row r="11">
      <x:c r="A11" s="25" t="str">
        <x:v>SUPPORTING_DOCS</x:v>
      </x:c>
      <x:c r="B11" s="25" t="str">
        <x:v>Semantic</x:v>
      </x:c>
      <x:c r="C11" s="25" t="str">
        <x:v>Required support documented by contract</x:v>
      </x:c>
      <x:c r="D11" s="25" t="str">
        <x:v>No lien waiver or COI in draft narrative</x:v>
      </x:c>
      <x:c r="E11" s="25" t="str">
        <x:v>Missing-support question</x:v>
      </x:c>
    </x:row>
    <x:row r="12">
      <x:c r="A12" s="25" t="str">
        <x:v>DUPLICATE</x:v>
      </x:c>
      <x:c r="B12" s="25" t="str">
        <x:v>Semantic</x:v>
      </x:c>
      <x:c r="C12" s="25" t="str">
        <x:v>Repeated work description or amount across submissions</x:v>
      </x:c>
      <x:c r="D12" s="25" t="str">
        <x:v>$20,000 generator rental appears in App 6 and App 7</x:v>
      </x:c>
      <x:c r="E12" s="25" t="str">
        <x:v>Potential duplicate billing</x:v>
      </x:c>
    </x:row>
    <x:row r="13">
      <x:c r="A13" s="25" t="str">
        <x:v>PRIOR_PERIOD</x:v>
      </x:c>
      <x:c r="B13" s="25" t="str">
        <x:v>Semantic</x:v>
      </x:c>
      <x:c r="C13" s="25" t="str">
        <x:v>Consistency of amounts/descriptions/status across documents</x:v>
      </x:c>
      <x:c r="D13" s="25" t="str">
        <x:v>Generator status differs across App 7 and change log</x:v>
      </x:c>
      <x:c r="E13" s="25" t="str">
        <x:v>Consistency question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56" hidden="0" customWidth="1"/>
    <x:col min="4" max="4" width="16" hidden="0" customWidth="1"/>
    <x:col min="5" max="5" width="30" hidden="0" customWidth="1"/>
  </x:cols>
  <x:sheetData>
    <x:row r="1" ht="28" customHeight="1">
      <x:c r="A1" s="4" t="str">
        <x:v>Reviewer End-to-End Checklist</x:v>
      </x:c>
      <x:c r="B1" s="4"/>
      <x:c r="C1" s="4"/>
      <x:c r="D1" s="4"/>
      <x:c r="E1" s="4"/>
      <x:c r="F1" s="4"/>
      <x:c r="G1" s="4"/>
      <x:c r="H1" s="4"/>
    </x:row>
    <x:row r="2" ht="26" customHeight="1">
      <x:c r="A2" s="9" t="str">
        <x:v>Mark the outcome in the Mayo UI. This tab records what good behavior looks like, not a payment recommendation.</x:v>
      </x:c>
      <x:c r="B2" s="9"/>
      <x:c r="C2" s="9"/>
      <x:c r="D2" s="9"/>
      <x:c r="E2" s="9"/>
      <x:c r="F2" s="9"/>
      <x:c r="G2" s="9"/>
      <x:c r="H2" s="9"/>
    </x:row>
    <x:row r="4">
      <x:c r="A4" s="24" t="str">
        <x:v>Step</x:v>
      </x:c>
      <x:c r="B4" s="24" t="str">
        <x:v>Reviewer action</x:v>
      </x:c>
      <x:c r="C4" s="24" t="str">
        <x:v>Expected system behavior</x:v>
      </x:c>
      <x:c r="D4" s="24" t="str">
        <x:v>Pass / fail</x:v>
      </x:c>
      <x:c r="E4" s="24" t="str">
        <x:v>Notes</x:v>
      </x:c>
    </x:row>
    <x:row r="5">
      <x:c r="A5" s="25" t="n">
        <x:v>1</x:v>
      </x:c>
      <x:c r="B5" s="25" t="str">
        <x:v>Create case</x:v>
      </x:c>
      <x:c r="C5" s="25" t="str">
        <x:v>Case starts active and has no vector store until first indexing job</x:v>
      </x:c>
      <x:c r="D5" s="33" t="str"/>
      <x:c r="E5" s="25" t="str"/>
    </x:row>
    <x:row r="6">
      <x:c r="A6" s="25" t="n">
        <x:v>2</x:v>
      </x:c>
      <x:c r="B6" s="25" t="str">
        <x:v>Upload six PDFs</x:v>
      </x:c>
      <x:c r="C6" s="25" t="str">
        <x:v>Each item proceeds uploading -&gt; uploaded -&gt; indexing -&gt; ready</x:v>
      </x:c>
      <x:c r="D6" s="33" t="str"/>
      <x:c r="E6" s="25" t="str"/>
    </x:row>
    <x:row r="7">
      <x:c r="A7" s="25" t="n">
        <x:v>3</x:v>
      </x:c>
      <x:c r="B7" s="25" t="str">
        <x:v>Extract Apps 5, 6, and 7 draft</x:v>
      </x:c>
      <x:c r="C7" s="25" t="str">
        <x:v>Structured values include application number, current payment, SOV lines, retainage, and evidence</x:v>
      </x:c>
      <x:c r="D7" s="33" t="str"/>
      <x:c r="E7" s="25" t="str"/>
    </x:row>
    <x:row r="8">
      <x:c r="A8" s="25" t="n">
        <x:v>4</x:v>
      </x:c>
      <x:c r="B8" s="25" t="str">
        <x:v>Run review</x:v>
      </x:c>
      <x:c r="C8" s="25" t="str">
        <x:v>Findings are saved with evidence excerpts and stay advisory</x:v>
      </x:c>
      <x:c r="D8" s="33" t="str"/>
      <x:c r="E8" s="25" t="str"/>
    </x:row>
    <x:row r="9">
      <x:c r="A9" s="25" t="n">
        <x:v>5</x:v>
      </x:c>
      <x:c r="B9" s="25" t="str">
        <x:v>Review MATH and OVER_BILLING</x:v>
      </x:c>
      <x:c r="C9" s="25" t="str">
        <x:v>Evidence points to the draft SOV / summary; no amount is automatically changed</x:v>
      </x:c>
      <x:c r="D9" s="33" t="str"/>
      <x:c r="E9" s="25" t="str"/>
    </x:row>
    <x:row r="10">
      <x:c r="A10" s="25" t="n">
        <x:v>6</x:v>
      </x:c>
      <x:c r="B10" s="25" t="str">
        <x:v>Review retainage and CO-002</x:v>
      </x:c>
      <x:c r="C10" s="25" t="str">
        <x:v>Contract/change-log excerpts support the exception</x:v>
      </x:c>
      <x:c r="D10" s="33" t="str"/>
      <x:c r="E10" s="25" t="str"/>
    </x:row>
    <x:row r="11">
      <x:c r="A11" s="25" t="n">
        <x:v>7</x:v>
      </x:c>
      <x:c r="B11" s="25" t="str">
        <x:v>Review semantic findings</x:v>
      </x:c>
      <x:c r="C11" s="25" t="str">
        <x:v>Model identifies scope, support, duplicate, and prior-period questions with confidence</x:v>
      </x:c>
      <x:c r="D11" s="33" t="str"/>
      <x:c r="E11" s="25" t="str"/>
    </x:row>
    <x:row r="12">
      <x:c r="A12" s="25" t="n">
        <x:v>8</x:v>
      </x:c>
      <x:c r="B12" s="25" t="str">
        <x:v>Accept/reject/comment</x:v>
      </x:c>
      <x:c r="C12" s="25" t="str">
        <x:v>Decision transition and audit event are stored</x:v>
      </x:c>
      <x:c r="D12" s="33" t="str"/>
      <x:c r="E12" s="25" t="str"/>
    </x:row>
    <x:row r="13">
      <x:c r="A13" s="25" t="n">
        <x:v>9</x:v>
      </x:c>
      <x:c r="B13" s="25" t="str">
        <x:v>Compare draft vs final</x:v>
      </x:c>
      <x:c r="C13" s="25" t="str">
        <x:v>Resolved items are identified; final stays subject to human review</x:v>
      </x:c>
      <x:c r="D13" s="33" t="str"/>
      <x:c r="E13" s="25" t="str"/>
    </x:row>
    <x:row r="14">
      <x:c r="A14" s="25" t="n">
        <x:v>10</x:v>
      </x:c>
      <x:c r="B14" s="25" t="str">
        <x:v>Open audit tab</x:v>
      </x:c>
      <x:c r="C14" s="25" t="str">
        <x:v>Runs retain model, prompt/rule version, sources, response ID, usage, and execution state</x:v>
      </x:c>
      <x:c r="D14" s="33" t="str"/>
      <x:c r="E14" s="25" t="str"/>
    </x:row>
    <x:row r="15">
      <x:c r="A15" s="25" t="n">
        <x:v>11</x:v>
      </x:c>
      <x:c r="B15" s="25" t="str">
        <x:v>Verify isolation</x:v>
      </x:c>
      <x:c r="C15" s="25" t="str">
        <x:v>A separate case cannot retrieve this case's vector store documents</x:v>
      </x:c>
      <x:c r="D15" s="33" t="str"/>
      <x:c r="E15" s="25" t="str"/>
    </x:row>
  </x:sheetData>
  <x:mergeCells>
    <x:mergeCell ref="A1:H1"/>
    <x:mergeCell ref="A2:H2"/>
  </x:mergeCells>
  <x:dataValidations count="1">
    <x:dataValidation type="list" sqref="D5:D15">
      <x:formula1>",Pass,Fail,Needs review"</x:formula1>
    </x:dataValidation>
  </x:dataValidations>
  <x:pageMargins left="0.7" right="0.7" top="0.75" bottom="0.75" header="0.3" footer="0.3"/>
</x:worksheet>
</file>